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77089562849470/Desktop/kartik/Excel/"/>
    </mc:Choice>
  </mc:AlternateContent>
  <xr:revisionPtr revIDLastSave="0" documentId="8_{6BCB7FDA-A7DF-488E-B350-3399C67B8D61}" xr6:coauthVersionLast="47" xr6:coauthVersionMax="47" xr10:uidLastSave="{00000000-0000-0000-0000-000000000000}"/>
  <bookViews>
    <workbookView xWindow="-120" yWindow="-120" windowWidth="29040" windowHeight="15720" activeTab="5" xr2:uid="{B32A53AA-B8F1-492D-8D25-5AE646DE3A91}"/>
  </bookViews>
  <sheets>
    <sheet name="deliveries" sheetId="1" r:id="rId1"/>
    <sheet name="RawData" sheetId="2" r:id="rId2"/>
    <sheet name="Clean" sheetId="3" r:id="rId3"/>
    <sheet name="lookup" sheetId="4" r:id="rId4"/>
    <sheet name="Summary" sheetId="5" r:id="rId5"/>
    <sheet name="pivot" sheetId="6" r:id="rId6"/>
  </sheets>
  <calcPr calcId="0"/>
  <pivotCaches>
    <pivotCache cacheId="5" r:id="rId7"/>
  </pivotCaches>
</workbook>
</file>

<file path=xl/calcChain.xml><?xml version="1.0" encoding="utf-8"?>
<calcChain xmlns="http://schemas.openxmlformats.org/spreadsheetml/2006/main">
  <c r="B9" i="5" l="1"/>
  <c r="B10" i="5"/>
  <c r="B11" i="5"/>
  <c r="G4" i="5"/>
  <c r="G3" i="5"/>
</calcChain>
</file>

<file path=xl/sharedStrings.xml><?xml version="1.0" encoding="utf-8"?>
<sst xmlns="http://schemas.openxmlformats.org/spreadsheetml/2006/main" count="176" uniqueCount="38">
  <si>
    <t>record_id</t>
  </si>
  <si>
    <t>month</t>
  </si>
  <si>
    <t>route_id</t>
  </si>
  <si>
    <t>hub</t>
  </si>
  <si>
    <t>promised_days</t>
  </si>
  <si>
    <t xml:space="preserve">actual_days </t>
  </si>
  <si>
    <t>Jan</t>
  </si>
  <si>
    <t>R1</t>
  </si>
  <si>
    <t>Mumbai</t>
  </si>
  <si>
    <t>R2</t>
  </si>
  <si>
    <t>Chennai</t>
  </si>
  <si>
    <t>Missing vales</t>
  </si>
  <si>
    <t>R3</t>
  </si>
  <si>
    <t>Delhi</t>
  </si>
  <si>
    <t>R4</t>
  </si>
  <si>
    <t>Feb</t>
  </si>
  <si>
    <t xml:space="preserve">duplicate </t>
  </si>
  <si>
    <t>Mar</t>
  </si>
  <si>
    <t>Before cleaning : 13rows</t>
  </si>
  <si>
    <t>After cleaning : 12rows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</si>
  <si>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</si>
  <si>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</si>
  <si>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</si>
  <si>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</si>
  <si>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</si>
  <si>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</si>
  <si>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</si>
  <si>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</si>
  <si>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actual_days</t>
  </si>
  <si>
    <t>delay_days</t>
  </si>
  <si>
    <t>Total hub</t>
  </si>
  <si>
    <t>ChennChennaiai</t>
  </si>
  <si>
    <t>Hub</t>
  </si>
  <si>
    <t>Total delay_days</t>
  </si>
  <si>
    <t>Row Labels</t>
  </si>
  <si>
    <t>Grand Total</t>
  </si>
  <si>
    <t>Column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</si>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</sst>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F0F6FC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1.562770717595" createdVersion="8" refreshedVersion="8" minRefreshableVersion="3" recordCount="12" xr:uid="{ED5C16CF-EBE2-4AB5-875A-DF55A417E931}">
  <cacheSource type="worksheet">
    <worksheetSource ref="A1:H13" sheet="Clean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 count="8">
        <n v="0"/>
        <n v="1"/>
        <n v="3"/>
        <n v="4"/>
        <n v="5"/>
        <n v="6"/>
        <n v="2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x v="0"/>
  </r>
  <r>
    <n v="2"/>
    <x v="0"/>
    <s v="R2"/>
    <s v="Chennai"/>
    <n v="3"/>
    <n v="4"/>
    <x v="0"/>
    <x v="1"/>
  </r>
  <r>
    <n v="3"/>
    <x v="0"/>
    <s v="R3"/>
    <s v="Delhi"/>
    <n v="5"/>
    <n v="8"/>
    <x v="1"/>
    <x v="2"/>
  </r>
  <r>
    <n v="4"/>
    <x v="0"/>
    <s v="R4"/>
    <s v="Mumbai"/>
    <n v="6"/>
    <n v="10"/>
    <x v="1"/>
    <x v="3"/>
  </r>
  <r>
    <n v="5"/>
    <x v="1"/>
    <s v="R1"/>
    <s v="Chennai"/>
    <n v="2"/>
    <n v="5"/>
    <x v="0"/>
    <x v="2"/>
  </r>
  <r>
    <n v="6"/>
    <x v="1"/>
    <s v="R2"/>
    <s v="Delhi"/>
    <n v="3"/>
    <n v="3"/>
    <x v="0"/>
    <x v="0"/>
  </r>
  <r>
    <n v="7"/>
    <x v="1"/>
    <s v="R3"/>
    <s v="Delhi"/>
    <n v="5"/>
    <n v="10"/>
    <x v="1"/>
    <x v="4"/>
  </r>
  <r>
    <n v="8"/>
    <x v="1"/>
    <s v="R4"/>
    <s v="Chennai"/>
    <n v="6"/>
    <n v="7"/>
    <x v="1"/>
    <x v="1"/>
  </r>
  <r>
    <n v="9"/>
    <x v="2"/>
    <s v="R1"/>
    <s v="Delhi"/>
    <n v="2"/>
    <n v="8"/>
    <x v="0"/>
    <x v="5"/>
  </r>
  <r>
    <n v="10"/>
    <x v="2"/>
    <s v="R2"/>
    <s v="Mumbai"/>
    <n v="3"/>
    <n v="5"/>
    <x v="0"/>
    <x v="6"/>
  </r>
  <r>
    <n v="11"/>
    <x v="2"/>
    <s v="R3"/>
    <s v="Chennai"/>
    <n v="5"/>
    <n v="5"/>
    <x v="1"/>
    <x v="0"/>
  </r>
  <r>
    <n v="12"/>
    <x v="2"/>
    <s v="R4"/>
    <s v="Mumbai"/>
    <n v="6"/>
    <n v="15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0C95D-AB91-4E49-BAF4-357D5F28FFE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1" firstDataRow="2" firstDataCol="1"/>
  <pivotFields count="8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>
      <items count="9">
        <item x="0"/>
        <item x="1"/>
        <item x="6"/>
        <item x="2"/>
        <item x="3"/>
        <item x="4"/>
        <item x="5"/>
        <item x="7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delay_day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7E179-8D59-492C-B809-30B8DDA74662}" name="Table1" displayName="Table1" ref="A1:F13" totalsRowShown="0">
  <autoFilter ref="A1:F13" xr:uid="{57A7E179-8D59-492C-B809-30B8DDA74662}"/>
  <tableColumns count="6">
    <tableColumn id="1" xr3:uid="{129A6AF0-2693-4053-A0B5-255C510A3398}" name="record_id"/>
    <tableColumn id="2" xr3:uid="{83F88E0D-4402-4569-BF37-A00CF37F9AD9}" name="month"/>
    <tableColumn id="3" xr3:uid="{97B7B99D-C687-4B48-9F60-DDF76FE36C95}" name="route_id"/>
    <tableColumn id="4" xr3:uid="{FE2EC912-5CC8-4171-9121-4FBE7B9DFB83}" name="hub"/>
    <tableColumn id="5" xr3:uid="{AB6804C6-63AE-4A20-8771-129AEE1A0BB2}" name="promised_days"/>
    <tableColumn id="6" xr3:uid="{6B9CECA6-D7F2-4C79-9FE3-E6FF3CA7AEC1}" name="actual_days 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AE0D45-02F7-4FB3-9835-C281C318AD15}" name="Table2" displayName="Table2" ref="A1:C5" totalsRowShown="0" headerRowCellStyle="Normal" dataCellStyle="Normal">
  <autoFilter ref="A1:C5" xr:uid="{5AAE0D45-02F7-4FB3-9835-C281C318AD15}"/>
  <tableColumns count="3">
    <tableColumn id="1" xr3:uid="{8B9AD733-B250-426B-B84C-CFCB95C49658}" name="route_id" dataCellStyle="Normal"/>
    <tableColumn id="2" xr3:uid="{B1D74FC5-D120-4D2C-AA4F-1B3F500C6F3E}" name="route" dataCellStyle="Normal"/>
    <tableColumn id="3" xr3:uid="{EF93F78A-BF48-4E4C-B99E-C19EE465C45E}" name="service_type" dataCellStyle="Norm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1A15-DFBE-45A0-AC72-BEC9F1516E28}">
  <dimension ref="A1:I18"/>
  <sheetViews>
    <sheetView workbookViewId="0">
      <selection sqref="A1:F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9" x14ac:dyDescent="0.25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  <c r="I3" t="s">
        <v>11</v>
      </c>
    </row>
    <row r="4" spans="1:9" x14ac:dyDescent="0.25">
      <c r="A4">
        <v>3</v>
      </c>
      <c r="B4" t="s">
        <v>6</v>
      </c>
      <c r="C4" t="s">
        <v>12</v>
      </c>
      <c r="D4" t="s">
        <v>13</v>
      </c>
      <c r="E4">
        <v>5</v>
      </c>
      <c r="F4">
        <v>8</v>
      </c>
      <c r="I4">
        <v>6</v>
      </c>
    </row>
    <row r="5" spans="1:9" x14ac:dyDescent="0.25">
      <c r="A5">
        <v>4</v>
      </c>
      <c r="B5" t="s">
        <v>6</v>
      </c>
      <c r="C5" t="s">
        <v>14</v>
      </c>
      <c r="D5" t="s">
        <v>8</v>
      </c>
      <c r="E5">
        <v>6</v>
      </c>
      <c r="F5">
        <v>10</v>
      </c>
    </row>
    <row r="6" spans="1:9" x14ac:dyDescent="0.25">
      <c r="A6">
        <v>5</v>
      </c>
      <c r="B6" t="s">
        <v>15</v>
      </c>
      <c r="C6" t="s">
        <v>7</v>
      </c>
      <c r="D6" t="s">
        <v>10</v>
      </c>
      <c r="E6">
        <v>2</v>
      </c>
      <c r="F6">
        <v>5</v>
      </c>
      <c r="I6" t="s">
        <v>16</v>
      </c>
    </row>
    <row r="7" spans="1:9" x14ac:dyDescent="0.25">
      <c r="A7">
        <v>6</v>
      </c>
      <c r="B7" t="s">
        <v>15</v>
      </c>
      <c r="C7" t="s">
        <v>9</v>
      </c>
      <c r="D7" t="s">
        <v>13</v>
      </c>
      <c r="E7">
        <v>3</v>
      </c>
      <c r="F7">
        <v>3</v>
      </c>
    </row>
    <row r="8" spans="1:9" x14ac:dyDescent="0.25">
      <c r="A8">
        <v>7</v>
      </c>
      <c r="B8" t="s">
        <v>15</v>
      </c>
      <c r="C8" t="s">
        <v>12</v>
      </c>
      <c r="D8" t="s">
        <v>13</v>
      </c>
      <c r="E8">
        <v>5</v>
      </c>
      <c r="F8">
        <v>10</v>
      </c>
    </row>
    <row r="9" spans="1:9" x14ac:dyDescent="0.25">
      <c r="A9">
        <v>8</v>
      </c>
      <c r="B9" t="s">
        <v>15</v>
      </c>
      <c r="C9" t="s">
        <v>14</v>
      </c>
      <c r="D9" t="s">
        <v>10</v>
      </c>
      <c r="E9">
        <v>6</v>
      </c>
      <c r="F9">
        <v>7</v>
      </c>
    </row>
    <row r="10" spans="1:9" x14ac:dyDescent="0.25">
      <c r="A10">
        <v>9</v>
      </c>
      <c r="B10" t="s">
        <v>17</v>
      </c>
      <c r="C10" t="s">
        <v>7</v>
      </c>
      <c r="D10" t="s">
        <v>13</v>
      </c>
      <c r="E10">
        <v>2</v>
      </c>
      <c r="F10">
        <v>8</v>
      </c>
    </row>
    <row r="11" spans="1:9" x14ac:dyDescent="0.25">
      <c r="A11">
        <v>10</v>
      </c>
      <c r="B11" t="s">
        <v>17</v>
      </c>
      <c r="C11" t="s">
        <v>9</v>
      </c>
      <c r="D11" t="s">
        <v>8</v>
      </c>
      <c r="E11">
        <v>3</v>
      </c>
      <c r="F11">
        <v>5</v>
      </c>
    </row>
    <row r="12" spans="1:9" x14ac:dyDescent="0.25">
      <c r="A12">
        <v>11</v>
      </c>
      <c r="B12" t="s">
        <v>17</v>
      </c>
      <c r="C12" t="s">
        <v>12</v>
      </c>
      <c r="D12" t="s">
        <v>10</v>
      </c>
      <c r="E12">
        <v>5</v>
      </c>
      <c r="F12">
        <v>5</v>
      </c>
    </row>
    <row r="13" spans="1:9" x14ac:dyDescent="0.25">
      <c r="A13">
        <v>12</v>
      </c>
      <c r="B13" t="s">
        <v>17</v>
      </c>
      <c r="C13" t="s">
        <v>14</v>
      </c>
      <c r="D13" t="s">
        <v>8</v>
      </c>
      <c r="E13">
        <v>6</v>
      </c>
      <c r="F13">
        <v>15</v>
      </c>
    </row>
    <row r="17" spans="1:1" x14ac:dyDescent="0.25">
      <c r="A17" t="s">
        <v>18</v>
      </c>
    </row>
    <row r="18" spans="1:1" x14ac:dyDescent="0.25">
      <c r="A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F4BD-6DBB-46F9-A84E-DBF8FA94CAB6}">
  <dimension ref="A1:F13"/>
  <sheetViews>
    <sheetView workbookViewId="0">
      <selection activeCell="I19" sqref="I19"/>
    </sheetView>
  </sheetViews>
  <sheetFormatPr defaultRowHeight="15" x14ac:dyDescent="0.25"/>
  <cols>
    <col min="1" max="1" width="11.5703125" customWidth="1"/>
    <col min="3" max="3" width="10.7109375" customWidth="1"/>
    <col min="5" max="5" width="16.5703125" customWidth="1"/>
    <col min="6" max="6" width="13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25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25">
      <c r="A4">
        <v>3</v>
      </c>
      <c r="B4" t="s">
        <v>6</v>
      </c>
      <c r="C4" t="s">
        <v>12</v>
      </c>
      <c r="D4" t="s">
        <v>13</v>
      </c>
      <c r="E4">
        <v>5</v>
      </c>
      <c r="F4">
        <v>8</v>
      </c>
    </row>
    <row r="5" spans="1:6" x14ac:dyDescent="0.25">
      <c r="A5">
        <v>4</v>
      </c>
      <c r="B5" t="s">
        <v>6</v>
      </c>
      <c r="C5" t="s">
        <v>14</v>
      </c>
      <c r="D5" t="s">
        <v>8</v>
      </c>
      <c r="E5">
        <v>6</v>
      </c>
      <c r="F5">
        <v>10</v>
      </c>
    </row>
    <row r="6" spans="1:6" x14ac:dyDescent="0.25">
      <c r="A6">
        <v>5</v>
      </c>
      <c r="B6" t="s">
        <v>15</v>
      </c>
      <c r="C6" t="s">
        <v>7</v>
      </c>
      <c r="D6" t="s">
        <v>10</v>
      </c>
      <c r="E6">
        <v>2</v>
      </c>
      <c r="F6">
        <v>5</v>
      </c>
    </row>
    <row r="7" spans="1:6" x14ac:dyDescent="0.25">
      <c r="A7">
        <v>6</v>
      </c>
      <c r="B7" t="s">
        <v>15</v>
      </c>
      <c r="C7" t="s">
        <v>9</v>
      </c>
      <c r="D7" t="s">
        <v>13</v>
      </c>
      <c r="E7">
        <v>3</v>
      </c>
      <c r="F7">
        <v>3</v>
      </c>
    </row>
    <row r="8" spans="1:6" x14ac:dyDescent="0.25">
      <c r="A8">
        <v>7</v>
      </c>
      <c r="B8" t="s">
        <v>15</v>
      </c>
      <c r="C8" t="s">
        <v>12</v>
      </c>
      <c r="D8" t="s">
        <v>13</v>
      </c>
      <c r="E8">
        <v>5</v>
      </c>
      <c r="F8">
        <v>10</v>
      </c>
    </row>
    <row r="9" spans="1:6" x14ac:dyDescent="0.25">
      <c r="A9">
        <v>8</v>
      </c>
      <c r="B9" t="s">
        <v>15</v>
      </c>
      <c r="C9" t="s">
        <v>14</v>
      </c>
      <c r="D9" t="s">
        <v>10</v>
      </c>
      <c r="E9">
        <v>6</v>
      </c>
      <c r="F9">
        <v>7</v>
      </c>
    </row>
    <row r="10" spans="1:6" x14ac:dyDescent="0.25">
      <c r="A10">
        <v>9</v>
      </c>
      <c r="B10" t="s">
        <v>17</v>
      </c>
      <c r="C10" t="s">
        <v>7</v>
      </c>
      <c r="D10" t="s">
        <v>13</v>
      </c>
      <c r="E10">
        <v>2</v>
      </c>
      <c r="F10">
        <v>8</v>
      </c>
    </row>
    <row r="11" spans="1:6" x14ac:dyDescent="0.25">
      <c r="A11">
        <v>10</v>
      </c>
      <c r="B11" t="s">
        <v>17</v>
      </c>
      <c r="C11" t="s">
        <v>9</v>
      </c>
      <c r="D11" t="s">
        <v>8</v>
      </c>
      <c r="E11">
        <v>3</v>
      </c>
      <c r="F11">
        <v>5</v>
      </c>
    </row>
    <row r="12" spans="1:6" x14ac:dyDescent="0.25">
      <c r="A12">
        <v>11</v>
      </c>
      <c r="B12" t="s">
        <v>17</v>
      </c>
      <c r="C12" t="s">
        <v>12</v>
      </c>
      <c r="D12" t="s">
        <v>10</v>
      </c>
      <c r="E12">
        <v>5</v>
      </c>
      <c r="F12">
        <v>5</v>
      </c>
    </row>
    <row r="13" spans="1:6" x14ac:dyDescent="0.25">
      <c r="A13">
        <v>12</v>
      </c>
      <c r="B13" t="s">
        <v>17</v>
      </c>
      <c r="C13" t="s">
        <v>14</v>
      </c>
      <c r="D13" t="s">
        <v>8</v>
      </c>
      <c r="E13">
        <v>6</v>
      </c>
      <c r="F13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725C-3804-4E15-9533-B74C22F5BC5B}">
  <dimension ref="A1:H13"/>
  <sheetViews>
    <sheetView workbookViewId="0">
      <selection activeCell="D13" sqref="D13"/>
    </sheetView>
  </sheetViews>
  <sheetFormatPr defaultRowHeight="15" x14ac:dyDescent="0.25"/>
  <cols>
    <col min="2" max="2" width="6.85546875" bestFit="1" customWidth="1"/>
    <col min="3" max="3" width="8.5703125" bestFit="1" customWidth="1"/>
    <col min="4" max="4" width="8.28515625" bestFit="1" customWidth="1"/>
    <col min="5" max="5" width="14.5703125" bestFit="1" customWidth="1"/>
    <col min="6" max="6" width="11.28515625" bestFit="1" customWidth="1"/>
    <col min="7" max="7" width="12.28515625" bestFit="1" customWidth="1"/>
    <col min="8" max="8" width="1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21</v>
      </c>
      <c r="H1" t="s">
        <v>29</v>
      </c>
    </row>
    <row r="2" spans="1:8" x14ac:dyDescent="0.25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  <c r="G2" t="s">
        <v>23</v>
      </c>
      <c r="H2">
        <v>0</v>
      </c>
    </row>
    <row r="3" spans="1:8" x14ac:dyDescent="0.25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  <c r="G3" t="s">
        <v>23</v>
      </c>
      <c r="H3">
        <v>1</v>
      </c>
    </row>
    <row r="4" spans="1:8" x14ac:dyDescent="0.25">
      <c r="A4">
        <v>3</v>
      </c>
      <c r="B4" t="s">
        <v>6</v>
      </c>
      <c r="C4" t="s">
        <v>12</v>
      </c>
      <c r="D4" t="s">
        <v>13</v>
      </c>
      <c r="E4">
        <v>5</v>
      </c>
      <c r="F4">
        <v>8</v>
      </c>
      <c r="G4" t="s">
        <v>26</v>
      </c>
      <c r="H4">
        <v>3</v>
      </c>
    </row>
    <row r="5" spans="1:8" x14ac:dyDescent="0.25">
      <c r="A5">
        <v>4</v>
      </c>
      <c r="B5" t="s">
        <v>6</v>
      </c>
      <c r="C5" t="s">
        <v>14</v>
      </c>
      <c r="D5" t="s">
        <v>8</v>
      </c>
      <c r="E5">
        <v>6</v>
      </c>
      <c r="F5">
        <v>10</v>
      </c>
      <c r="G5" t="s">
        <v>26</v>
      </c>
      <c r="H5">
        <v>4</v>
      </c>
    </row>
    <row r="6" spans="1:8" x14ac:dyDescent="0.25">
      <c r="A6">
        <v>5</v>
      </c>
      <c r="B6" t="s">
        <v>15</v>
      </c>
      <c r="C6" t="s">
        <v>7</v>
      </c>
      <c r="D6" t="s">
        <v>10</v>
      </c>
      <c r="E6">
        <v>2</v>
      </c>
      <c r="F6">
        <v>5</v>
      </c>
      <c r="G6" t="s">
        <v>23</v>
      </c>
      <c r="H6">
        <v>3</v>
      </c>
    </row>
    <row r="7" spans="1:8" x14ac:dyDescent="0.25">
      <c r="A7">
        <v>6</v>
      </c>
      <c r="B7" t="s">
        <v>15</v>
      </c>
      <c r="C7" t="s">
        <v>9</v>
      </c>
      <c r="D7" t="s">
        <v>13</v>
      </c>
      <c r="E7">
        <v>3</v>
      </c>
      <c r="F7">
        <v>3</v>
      </c>
      <c r="G7" t="s">
        <v>23</v>
      </c>
      <c r="H7">
        <v>0</v>
      </c>
    </row>
    <row r="8" spans="1:8" x14ac:dyDescent="0.25">
      <c r="A8">
        <v>7</v>
      </c>
      <c r="B8" t="s">
        <v>15</v>
      </c>
      <c r="C8" t="s">
        <v>12</v>
      </c>
      <c r="D8" t="s">
        <v>13</v>
      </c>
      <c r="E8">
        <v>5</v>
      </c>
      <c r="F8">
        <v>10</v>
      </c>
      <c r="G8" t="s">
        <v>26</v>
      </c>
      <c r="H8">
        <v>5</v>
      </c>
    </row>
    <row r="9" spans="1:8" x14ac:dyDescent="0.25">
      <c r="A9">
        <v>8</v>
      </c>
      <c r="B9" t="s">
        <v>15</v>
      </c>
      <c r="C9" t="s">
        <v>14</v>
      </c>
      <c r="D9" t="s">
        <v>10</v>
      </c>
      <c r="E9">
        <v>6</v>
      </c>
      <c r="F9">
        <v>7</v>
      </c>
      <c r="G9" t="s">
        <v>26</v>
      </c>
      <c r="H9">
        <v>1</v>
      </c>
    </row>
    <row r="10" spans="1:8" x14ac:dyDescent="0.25">
      <c r="A10">
        <v>9</v>
      </c>
      <c r="B10" t="s">
        <v>17</v>
      </c>
      <c r="C10" t="s">
        <v>7</v>
      </c>
      <c r="D10" t="s">
        <v>13</v>
      </c>
      <c r="E10">
        <v>2</v>
      </c>
      <c r="F10">
        <v>8</v>
      </c>
      <c r="G10" t="s">
        <v>23</v>
      </c>
      <c r="H10">
        <v>6</v>
      </c>
    </row>
    <row r="11" spans="1:8" x14ac:dyDescent="0.25">
      <c r="A11">
        <v>10</v>
      </c>
      <c r="B11" t="s">
        <v>17</v>
      </c>
      <c r="C11" t="s">
        <v>9</v>
      </c>
      <c r="D11" t="s">
        <v>8</v>
      </c>
      <c r="E11">
        <v>3</v>
      </c>
      <c r="F11">
        <v>5</v>
      </c>
      <c r="G11" t="s">
        <v>23</v>
      </c>
      <c r="H11">
        <v>2</v>
      </c>
    </row>
    <row r="12" spans="1:8" x14ac:dyDescent="0.25">
      <c r="A12">
        <v>11</v>
      </c>
      <c r="B12" t="s">
        <v>17</v>
      </c>
      <c r="C12" t="s">
        <v>12</v>
      </c>
      <c r="D12" t="s">
        <v>10</v>
      </c>
      <c r="E12">
        <v>5</v>
      </c>
      <c r="F12">
        <v>5</v>
      </c>
      <c r="G12" t="s">
        <v>26</v>
      </c>
      <c r="H12">
        <v>0</v>
      </c>
    </row>
    <row r="13" spans="1:8" x14ac:dyDescent="0.25">
      <c r="A13">
        <v>12</v>
      </c>
      <c r="B13" t="s">
        <v>17</v>
      </c>
      <c r="C13" t="s">
        <v>14</v>
      </c>
      <c r="D13" t="s">
        <v>8</v>
      </c>
      <c r="E13">
        <v>6</v>
      </c>
      <c r="F13">
        <v>15</v>
      </c>
      <c r="G13" t="s">
        <v>26</v>
      </c>
      <c r="H1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71A9-5838-449E-9EF6-B0CD68A73341}">
  <dimension ref="A1:C5"/>
  <sheetViews>
    <sheetView workbookViewId="0">
      <selection activeCell="D14" sqref="D14"/>
    </sheetView>
  </sheetViews>
  <sheetFormatPr defaultRowHeight="15" x14ac:dyDescent="0.25"/>
  <cols>
    <col min="1" max="1" width="13.42578125" customWidth="1"/>
    <col min="2" max="2" width="17.5703125" customWidth="1"/>
    <col min="3" max="3" width="17.85546875" customWidth="1"/>
  </cols>
  <sheetData>
    <row r="1" spans="1:3" x14ac:dyDescent="0.25">
      <c r="A1" t="s">
        <v>2</v>
      </c>
      <c r="B1" t="s">
        <v>20</v>
      </c>
      <c r="C1" t="s">
        <v>21</v>
      </c>
    </row>
    <row r="2" spans="1:3" x14ac:dyDescent="0.25">
      <c r="A2" t="s">
        <v>7</v>
      </c>
      <c r="B2" t="s">
        <v>22</v>
      </c>
      <c r="C2" t="s">
        <v>23</v>
      </c>
    </row>
    <row r="3" spans="1:3" x14ac:dyDescent="0.25">
      <c r="A3" t="s">
        <v>9</v>
      </c>
      <c r="B3" t="s">
        <v>24</v>
      </c>
      <c r="C3" t="s">
        <v>23</v>
      </c>
    </row>
    <row r="4" spans="1:3" x14ac:dyDescent="0.25">
      <c r="A4" t="s">
        <v>12</v>
      </c>
      <c r="B4" t="s">
        <v>25</v>
      </c>
      <c r="C4" t="s">
        <v>26</v>
      </c>
    </row>
    <row r="5" spans="1:3" x14ac:dyDescent="0.25">
      <c r="A5" t="s">
        <v>14</v>
      </c>
      <c r="B5" t="s">
        <v>27</v>
      </c>
      <c r="C5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385A-47CF-4DC0-8B3F-C0160AE14ECC}">
  <dimension ref="A3:G11"/>
  <sheetViews>
    <sheetView workbookViewId="0">
      <selection activeCell="B9" sqref="B9"/>
    </sheetView>
  </sheetViews>
  <sheetFormatPr defaultRowHeight="15" x14ac:dyDescent="0.25"/>
  <sheetData>
    <row r="3" spans="1:7" ht="23.25" x14ac:dyDescent="0.35">
      <c r="C3" s="2" t="s">
        <v>30</v>
      </c>
      <c r="D3" s="2"/>
      <c r="E3" s="2"/>
      <c r="F3" s="1"/>
      <c r="G3">
        <f>SUM(Table1[hub])</f>
        <v>0</v>
      </c>
    </row>
    <row r="4" spans="1:7" ht="17.25" x14ac:dyDescent="0.3">
      <c r="C4" s="3" t="s">
        <v>31</v>
      </c>
      <c r="D4" s="3"/>
      <c r="E4" s="3"/>
      <c r="G4">
        <f>SUMIFS(Clean!$H$2:$H$13,Clean!$D$2:$D$13,A2)</f>
        <v>0</v>
      </c>
    </row>
    <row r="8" spans="1:7" x14ac:dyDescent="0.25">
      <c r="A8" t="s">
        <v>32</v>
      </c>
      <c r="B8" t="s">
        <v>33</v>
      </c>
    </row>
    <row r="9" spans="1:7" x14ac:dyDescent="0.25">
      <c r="A9" t="s">
        <v>10</v>
      </c>
      <c r="B9">
        <f>SUMIFS(Clean!$H$2:$H$13,Clean!$D$2:$D$13,A2)</f>
        <v>0</v>
      </c>
    </row>
    <row r="10" spans="1:7" x14ac:dyDescent="0.25">
      <c r="A10" t="s">
        <v>13</v>
      </c>
      <c r="B10">
        <f>SUMIFS(Clean!$H$2:$H$13,Clean!$D$2:$D$13,A3)</f>
        <v>0</v>
      </c>
    </row>
    <row r="11" spans="1:7" x14ac:dyDescent="0.25">
      <c r="A11" t="s">
        <v>8</v>
      </c>
      <c r="B11">
        <f>SUMIFS(Clean!$H$2:$H$13,Clean!$D$2:$D$13,A4)</f>
        <v>0</v>
      </c>
    </row>
  </sheetData>
  <mergeCells count="2">
    <mergeCell ref="C3:E3"/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F4CA-BF97-431D-B80D-3545206CE880}">
  <dimension ref="A1:D6"/>
  <sheetViews>
    <sheetView tabSelected="1" workbookViewId="0">
      <selection activeCell="T19" sqref="T19"/>
    </sheetView>
  </sheetViews>
  <sheetFormatPr defaultRowHeight="15" x14ac:dyDescent="0.25"/>
  <cols>
    <col min="1" max="1" width="17.7109375" bestFit="1" customWidth="1"/>
    <col min="2" max="2" width="16.28515625" bestFit="1" customWidth="1"/>
    <col min="3" max="3" width="8.85546875" bestFit="1" customWidth="1"/>
    <col min="4" max="4" width="11.28515625" bestFit="1" customWidth="1"/>
    <col min="5" max="9" width="2" bestFit="1" customWidth="1"/>
    <col min="10" max="10" width="11.28515625" bestFit="1" customWidth="1"/>
  </cols>
  <sheetData>
    <row r="1" spans="1:4" x14ac:dyDescent="0.25">
      <c r="A1" s="4" t="s">
        <v>37</v>
      </c>
      <c r="B1" s="4" t="s">
        <v>36</v>
      </c>
    </row>
    <row r="2" spans="1:4" x14ac:dyDescent="0.25">
      <c r="A2" s="4" t="s">
        <v>34</v>
      </c>
      <c r="B2" t="s">
        <v>23</v>
      </c>
      <c r="C2" t="s">
        <v>26</v>
      </c>
      <c r="D2" t="s">
        <v>35</v>
      </c>
    </row>
    <row r="3" spans="1:4" x14ac:dyDescent="0.25">
      <c r="A3" s="5" t="s">
        <v>6</v>
      </c>
      <c r="B3" s="6">
        <v>1</v>
      </c>
      <c r="C3" s="6">
        <v>7</v>
      </c>
      <c r="D3" s="6">
        <v>8</v>
      </c>
    </row>
    <row r="4" spans="1:4" x14ac:dyDescent="0.25">
      <c r="A4" s="5" t="s">
        <v>15</v>
      </c>
      <c r="B4" s="6">
        <v>3</v>
      </c>
      <c r="C4" s="6">
        <v>6</v>
      </c>
      <c r="D4" s="6">
        <v>9</v>
      </c>
    </row>
    <row r="5" spans="1:4" x14ac:dyDescent="0.25">
      <c r="A5" s="5" t="s">
        <v>17</v>
      </c>
      <c r="B5" s="6">
        <v>8</v>
      </c>
      <c r="C5" s="6">
        <v>9</v>
      </c>
      <c r="D5" s="6">
        <v>17</v>
      </c>
    </row>
    <row r="6" spans="1:4" x14ac:dyDescent="0.25">
      <c r="A6" s="5" t="s">
        <v>35</v>
      </c>
      <c r="B6" s="6">
        <v>12</v>
      </c>
      <c r="C6" s="6">
        <v>22</v>
      </c>
      <c r="D6" s="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deliveries</vt:lpstr>
      <vt:lpstr>RawData</vt:lpstr>
      <vt:lpstr>Clean</vt:lpstr>
      <vt:lpstr>lookup</vt:lpstr>
      <vt:lpstr>Summary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Ashutosh Rami</cp:lastModifiedBy>
  <dcterms:created xsi:type="dcterms:W3CDTF">2026-09-26T08:02:34Z</dcterms:created>
  <dcterms:modified xsi:type="dcterms:W3CDTF">2026-09-26T08:02:34Z</dcterms:modified>
</cp:coreProperties>
</file>